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67a7a16d844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gister" sheetId="1" r:id="Redaf8b9ed57948a5"/>
    <x:sheet xmlns:r="http://schemas.openxmlformats.org/officeDocument/2006/relationships" name="Scoring Guide" sheetId="2" r:id="R6194989afc17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04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5c409338e478b" /><Relationship Type="http://schemas.openxmlformats.org/officeDocument/2006/relationships/theme" Target="/xl/theme/theme1.xml" Id="R3e3e75bebdcb4189" /><Relationship Type="http://schemas.openxmlformats.org/officeDocument/2006/relationships/sharedStrings" Target="/xl/sharedStrings.xml" Id="Rfe74323a984c414b" /><Relationship Type="http://schemas.openxmlformats.org/officeDocument/2006/relationships/worksheet" Target="/xl/worksheets/sheet1.xml" Id="Redaf8b9ed57948a5" /><Relationship Type="http://schemas.openxmlformats.org/officeDocument/2006/relationships/worksheet" Target="/xl/worksheets/sheet2.xml" Id="R6194989afc1741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18" hidden="0" customWidth="1"/>
    <x:col min="11" max="11" width="18" hidden="0" customWidth="1"/>
  </x:cols>
  <x:sheetData>
    <x:row r="1">
      <x:c r="A1" s="6" t="str">
        <x:v>ID</x:v>
      </x:c>
      <x:c r="B1" s="6" t="str">
        <x:v>Threat scenario</x:v>
      </x:c>
      <x:c r="C1" s="6" t="str">
        <x:v>Asset</x:v>
      </x:c>
      <x:c r="D1" s="6" t="str">
        <x:v>Likelihood</x:v>
      </x:c>
      <x:c r="E1" s="6" t="str">
        <x:v>Impact</x:v>
      </x:c>
      <x:c r="F1" s="6" t="str">
        <x:v>Inherent score</x:v>
      </x:c>
      <x:c r="G1" s="6" t="str">
        <x:v>Severity</x:v>
      </x:c>
      <x:c r="H1" s="6" t="str">
        <x:v>NIST control families</x:v>
      </x:c>
      <x:c r="I1" s="6" t="str">
        <x:v>Treatment</x:v>
      </x:c>
      <x:c r="J1" s="6" t="str">
        <x:v>Owner</x:v>
      </x:c>
      <x:c r="K1" s="6" t="str">
        <x:v>Status</x:v>
      </x:c>
    </x:row>
    <x:row r="2">
      <x:c r="A2" t="str">
        <x:v>R01</x:v>
      </x:c>
      <x:c r="B2" t="str">
        <x:v>Privileged access compromise</x:v>
      </x:c>
      <x:c r="C2" t="str">
        <x:v>Cloud IAM</x:v>
      </x:c>
      <x:c r="D2" t="n">
        <x:v>4</x:v>
      </x:c>
      <x:c r="E2" t="n">
        <x:v>5</x:v>
      </x:c>
      <x:c r="F2" t="n">
        <x:f>D2*E2</x:f>
        <x:v>20</x:v>
      </x:c>
      <x:c r="G2" t="str">
        <x:f>IF(F2&gt;=16,"Critical",IF(F2&gt;=10,"High",IF(F2&gt;=5,"Medium","Low")))</x:f>
        <x:v>Critical</x:v>
      </x:c>
      <x:c r="H2" t="str">
        <x:v>AC, IA</x:v>
      </x:c>
      <x:c r="I2" t="str">
        <x:v>Phishing-resistant MFA; quarterly recertification</x:v>
      </x:c>
      <x:c r="J2" t="str">
        <x:v>Identity Lead</x:v>
      </x:c>
      <x:c r="K2" t="str">
        <x:v>Open</x:v>
      </x:c>
    </x:row>
    <x:row r="3">
      <x:c r="A3" t="str">
        <x:v>R02</x:v>
      </x:c>
      <x:c r="B3" t="str">
        <x:v>Customer data exposure</x:v>
      </x:c>
      <x:c r="C3" t="str">
        <x:v>Customer database</x:v>
      </x:c>
      <x:c r="D3" t="n">
        <x:v>4</x:v>
      </x:c>
      <x:c r="E3" t="n">
        <x:v>5</x:v>
      </x:c>
      <x:c r="F3" t="n">
        <x:f>D3*E3</x:f>
        <x:v>20</x:v>
      </x:c>
      <x:c r="G3" t="str">
        <x:f>IF(F3&gt;=16,"Critical",IF(F3&gt;=10,"High",IF(F3&gt;=5,"Medium","Low")))</x:f>
        <x:v>Critical</x:v>
      </x:c>
      <x:c r="H3" t="str">
        <x:v>AC, SC</x:v>
      </x:c>
      <x:c r="I3" t="str">
        <x:v>Encrypt data; restrict access; test DLP</x:v>
      </x:c>
      <x:c r="J3" t="str">
        <x:v>Security Lead</x:v>
      </x:c>
      <x:c r="K3" t="str">
        <x:v>Open</x:v>
      </x:c>
    </x:row>
    <x:row r="4">
      <x:c r="A4" t="str">
        <x:v>R03</x:v>
      </x:c>
      <x:c r="B4" t="str">
        <x:v>API injection and abuse</x:v>
      </x:c>
      <x:c r="C4" t="str">
        <x:v>Public API</x:v>
      </x:c>
      <x:c r="D4" t="n">
        <x:v>4</x:v>
      </x:c>
      <x:c r="E4" t="n">
        <x:v>4</x:v>
      </x:c>
      <x:c r="F4" t="n">
        <x:f>D4*E4</x:f>
        <x:v>16</x:v>
      </x:c>
      <x:c r="G4" t="str">
        <x:f>IF(F4&gt;=16,"Critical",IF(F4&gt;=10,"High",IF(F4&gt;=5,"Medium","Low")))</x:f>
        <x:v>Critical</x:v>
      </x:c>
      <x:c r="H4" t="str">
        <x:v>SI, SA</x:v>
      </x:c>
      <x:c r="I4" t="str">
        <x:v>API gateway; SAST/DAST; rate limits</x:v>
      </x:c>
      <x:c r="J4" t="str">
        <x:v>Engineering Lead</x:v>
      </x:c>
      <x:c r="K4" t="str">
        <x:v>Open</x:v>
      </x:c>
    </x:row>
    <x:row r="5">
      <x:c r="A5" t="str">
        <x:v>R04</x:v>
      </x:c>
      <x:c r="B5" t="str">
        <x:v>Employee phishing</x:v>
      </x:c>
      <x:c r="C5" t="str">
        <x:v>Workforce</x:v>
      </x:c>
      <x:c r="D5" t="n">
        <x:v>4</x:v>
      </x:c>
      <x:c r="E5" t="n">
        <x:v>4</x:v>
      </x:c>
      <x:c r="F5" t="n">
        <x:f>D5*E5</x:f>
        <x:v>16</x:v>
      </x:c>
      <x:c r="G5" t="str">
        <x:f>IF(F5&gt;=16,"Critical",IF(F5&gt;=10,"High",IF(F5&gt;=5,"Medium","Low")))</x:f>
        <x:v>Critical</x:v>
      </x:c>
      <x:c r="H5" t="str">
        <x:v>AT, IA</x:v>
      </x:c>
      <x:c r="I5" t="str">
        <x:v>Simulations; awareness training; MFA</x:v>
      </x:c>
      <x:c r="J5" t="str">
        <x:v>HR/Security</x:v>
      </x:c>
      <x:c r="K5" t="str">
        <x:v>Open</x:v>
      </x:c>
    </x:row>
    <x:row r="6">
      <x:c r="A6" t="str">
        <x:v>R05</x:v>
      </x:c>
      <x:c r="B6" t="str">
        <x:v>Unrecoverable backup</x:v>
      </x:c>
      <x:c r="C6" t="str">
        <x:v>Backup systems</x:v>
      </x:c>
      <x:c r="D6" t="n">
        <x:v>3</x:v>
      </x:c>
      <x:c r="E6" t="n">
        <x:v>5</x:v>
      </x:c>
      <x:c r="F6" t="n">
        <x:f>D6*E6</x:f>
        <x:v>15</x:v>
      </x:c>
      <x:c r="G6" t="str">
        <x:f>IF(F6&gt;=16,"Critical",IF(F6&gt;=10,"High",IF(F6&gt;=5,"Medium","Low")))</x:f>
        <x:v>High</x:v>
      </x:c>
      <x:c r="H6" t="str">
        <x:v>CP</x:v>
      </x:c>
      <x:c r="I6" t="str">
        <x:v>Immutable backup; quarterly restore test</x:v>
      </x:c>
      <x:c r="J6" t="str">
        <x:v>IT Operations</x:v>
      </x:c>
      <x:c r="K6" t="str">
        <x:v>Open</x:v>
      </x:c>
    </x:row>
    <x:row r="7">
      <x:c r="A7" t="str">
        <x:v>R06</x:v>
      </x:c>
      <x:c r="B7" t="str">
        <x:v>Delayed incident response</x:v>
      </x:c>
      <x:c r="C7" t="str">
        <x:v>Incident response</x:v>
      </x:c>
      <x:c r="D7" t="n">
        <x:v>3</x:v>
      </x:c>
      <x:c r="E7" t="n">
        <x:v>5</x:v>
      </x:c>
      <x:c r="F7" t="n">
        <x:f>D7*E7</x:f>
        <x:v>15</x:v>
      </x:c>
      <x:c r="G7" t="str">
        <x:f>IF(F7&gt;=16,"Critical",IF(F7&gt;=10,"High",IF(F7&gt;=5,"Medium","Low")))</x:f>
        <x:v>High</x:v>
      </x:c>
      <x:c r="H7" t="str">
        <x:v>IR</x:v>
      </x:c>
      <x:c r="I7" t="str">
        <x:v>Runbooks; tabletop exercise; on-call</x:v>
      </x:c>
      <x:c r="J7" t="str">
        <x:v>SOC Lead</x:v>
      </x:c>
      <x:c r="K7" t="str">
        <x:v>Open</x:v>
      </x:c>
    </x:row>
    <x:row r="8">
      <x:c r="A8" t="str">
        <x:v>R07</x:v>
      </x:c>
      <x:c r="B8" t="str">
        <x:v>Unmanaged endpoint</x:v>
      </x:c>
      <x:c r="C8" t="str">
        <x:v>Employee devices</x:v>
      </x:c>
      <x:c r="D8" t="n">
        <x:v>3</x:v>
      </x:c>
      <x:c r="E8" t="n">
        <x:v>3</x:v>
      </x:c>
      <x:c r="F8" t="n">
        <x:f>D8*E8</x:f>
        <x:v>9</x:v>
      </x:c>
      <x:c r="G8" t="str">
        <x:f>IF(F8&gt;=16,"Critical",IF(F8&gt;=10,"High",IF(F8&gt;=5,"Medium","Low")))</x:f>
        <x:v>Medium</x:v>
      </x:c>
      <x:c r="H8" t="str">
        <x:v>CM, SI</x:v>
      </x:c>
      <x:c r="I8" t="str">
        <x:v>MDM; EDR; patch SLAs</x:v>
      </x:c>
      <x:c r="J8" t="str">
        <x:v>Endpoint Lead</x:v>
      </x:c>
      <x:c r="K8" t="str">
        <x:v>Open</x:v>
      </x:c>
    </x:row>
    <x:row r="9">
      <x:c r="A9" t="str">
        <x:v>R08</x:v>
      </x:c>
      <x:c r="B9" t="str">
        <x:v>Supplier breach</x:v>
      </x:c>
      <x:c r="C9" t="str">
        <x:v>Third-party SaaS</x:v>
      </x:c>
      <x:c r="D9" t="n">
        <x:v>3</x:v>
      </x:c>
      <x:c r="E9" t="n">
        <x:v>3</x:v>
      </x:c>
      <x:c r="F9" t="n">
        <x:f>D9*E9</x:f>
        <x:v>9</x:v>
      </x:c>
      <x:c r="G9" t="str">
        <x:f>IF(F9&gt;=16,"Critical",IF(F9&gt;=10,"High",IF(F9&gt;=5,"Medium","Low")))</x:f>
        <x:v>Medium</x:v>
      </x:c>
      <x:c r="H9" t="str">
        <x:v>SR, SA</x:v>
      </x:c>
      <x:c r="I9" t="str">
        <x:v>Vendor due diligence; contractual SLAs</x:v>
      </x:c>
      <x:c r="J9" t="str">
        <x:v>Vendor Manager</x:v>
      </x:c>
      <x:c r="K9" t="str">
        <x:v>Open</x:v>
      </x:c>
    </x:row>
    <x:row r="10">
      <x:c r="A10" t="str">
        <x:v>R09</x:v>
      </x:c>
      <x:c r="B10" t="str">
        <x:v>Incomplete audit logs</x:v>
      </x:c>
      <x:c r="C10" t="str">
        <x:v>Central logging</x:v>
      </x:c>
      <x:c r="D10" t="n">
        <x:v>3</x:v>
      </x:c>
      <x:c r="E10" t="n">
        <x:v>3</x:v>
      </x:c>
      <x:c r="F10" t="n">
        <x:f>D10*E10</x:f>
        <x:v>9</x:v>
      </x:c>
      <x:c r="G10" t="str">
        <x:f>IF(F10&gt;=16,"Critical",IF(F10&gt;=10,"High",IF(F10&gt;=5,"Medium","Low")))</x:f>
        <x:v>Medium</x:v>
      </x:c>
      <x:c r="H10" t="str">
        <x:v>AU</x:v>
      </x:c>
      <x:c r="I10" t="str">
        <x:v>Centralize logs; retention and alerts</x:v>
      </x:c>
      <x:c r="J10" t="str">
        <x:v>SOC Lead</x:v>
      </x:c>
      <x:c r="K10" t="str">
        <x:v>Open</x:v>
      </x:c>
    </x:row>
    <x:row r="11">
      <x:c r="A11" t="str">
        <x:v>R10</x:v>
      </x:c>
      <x:c r="B11" t="str">
        <x:v>Production outage</x:v>
      </x:c>
      <x:c r="C11" t="str">
        <x:v>Cloud workloads</x:v>
      </x:c>
      <x:c r="D11" t="n">
        <x:v>3</x:v>
      </x:c>
      <x:c r="E11" t="n">
        <x:v>3</x:v>
      </x:c>
      <x:c r="F11" t="n">
        <x:f>D11*E11</x:f>
        <x:v>9</x:v>
      </x:c>
      <x:c r="G11" t="str">
        <x:f>IF(F11&gt;=16,"Critical",IF(F11&gt;=10,"High",IF(F11&gt;=5,"Medium","Low")))</x:f>
        <x:v>Medium</x:v>
      </x:c>
      <x:c r="H11" t="str">
        <x:v>CP, SC</x:v>
      </x:c>
      <x:c r="I11" t="str">
        <x:v>HA; failover exercises; capacity tests</x:v>
      </x:c>
      <x:c r="J11" t="str">
        <x:v>Platform Lead</x:v>
      </x:c>
      <x:c r="K11" t="str">
        <x:v>Open</x:v>
      </x:c>
    </x:row>
    <x:row r="12">
      <x:c r="A12" t="str">
        <x:v>R11</x:v>
      </x:c>
      <x:c r="B12" t="str">
        <x:v>Excessive retention</x:v>
      </x:c>
      <x:c r="C12" t="str">
        <x:v>Data lifecycle</x:v>
      </x:c>
      <x:c r="D12" t="n">
        <x:v>3</x:v>
      </x:c>
      <x:c r="E12" t="n">
        <x:v>3</x:v>
      </x:c>
      <x:c r="F12" t="n">
        <x:f>D12*E12</x:f>
        <x:v>9</x:v>
      </x:c>
      <x:c r="G12" t="str">
        <x:f>IF(F12&gt;=16,"Critical",IF(F12&gt;=10,"High",IF(F12&gt;=5,"Medium","Low")))</x:f>
        <x:v>Medium</x:v>
      </x:c>
      <x:c r="H12" t="str">
        <x:v>DM, MP</x:v>
      </x:c>
      <x:c r="I12" t="str">
        <x:v>Retention schedule; deletion tests</x:v>
      </x:c>
      <x:c r="J12" t="str">
        <x:v>Privacy Lead</x:v>
      </x:c>
      <x:c r="K12" t="str">
        <x:v>Open</x:v>
      </x:c>
    </x:row>
    <x:row r="13">
      <x:c r="A13" t="str">
        <x:v>R12</x:v>
      </x:c>
      <x:c r="B13" t="str">
        <x:v>CI/CD secrets leak</x:v>
      </x:c>
      <x:c r="C13" t="str">
        <x:v>Source code / CI</x:v>
      </x:c>
      <x:c r="D13" t="n">
        <x:v>3</x:v>
      </x:c>
      <x:c r="E13" t="n">
        <x:v>3</x:v>
      </x:c>
      <x:c r="F13" t="n">
        <x:f>D13*E13</x:f>
        <x:v>9</x:v>
      </x:c>
      <x:c r="G13" t="str">
        <x:f>IF(F13&gt;=16,"Critical",IF(F13&gt;=10,"High",IF(F13&gt;=5,"Medium","Low")))</x:f>
        <x:v>Medium</x:v>
      </x:c>
      <x:c r="H13" t="str">
        <x:v>SA, CM</x:v>
      </x:c>
      <x:c r="I13" t="str">
        <x:v>Secret scanning; vault; branch protection</x:v>
      </x:c>
      <x:c r="J13" t="str">
        <x:v>DevSecOps Lead</x:v>
      </x:c>
      <x:c r="K13" t="str">
        <x:v>Open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9" hidden="0" customWidth="1"/>
    <x:col min="3" max="3" width="29" hidden="0" customWidth="1"/>
  </x:cols>
  <x:sheetData>
    <x:row r="1">
      <x:c r="A1" s="4" t="str">
        <x:v>Score</x:v>
      </x:c>
      <x:c r="B1" s="4" t="str">
        <x:v>Rating</x:v>
      </x:c>
      <x:c r="C1" s="4" t="str">
        <x:v>Response</x:v>
      </x:c>
    </x:row>
    <x:row r="2">
      <x:c r="A2" t="str">
        <x:v>1-4</x:v>
      </x:c>
      <x:c r="B2" t="str">
        <x:v>Low</x:v>
      </x:c>
      <x:c r="C2" t="str">
        <x:v>Routine monitoring</x:v>
      </x:c>
    </x:row>
    <x:row r="3">
      <x:c r="A3" t="str">
        <x:v>5-9</x:v>
      </x:c>
      <x:c r="B3" t="str">
        <x:v>Medium</x:v>
      </x:c>
      <x:c r="C3" t="str">
        <x:v>Treat or document acceptance</x:v>
      </x:c>
    </x:row>
    <x:row r="4">
      <x:c r="A4" t="str">
        <x:v>10-15</x:v>
      </x:c>
      <x:c r="B4" t="str">
        <x:v>High</x:v>
      </x:c>
      <x:c r="C4" t="str">
        <x:v>Prioritize treatment</x:v>
      </x:c>
    </x:row>
    <x:row r="5">
      <x:c r="A5" t="str">
        <x:v>16-25</x:v>
      </x:c>
      <x:c r="B5" t="str">
        <x:v>Critical</x:v>
      </x:c>
      <x:c r="C5" t="str">
        <x:v>Accelerated action</x:v>
      </x:c>
    </x:row>
  </x:sheetData>
  <x:pageMargins left="0.7" right="0.7" top="0.75" bottom="0.75" header="0.3" footer="0.3"/>
</x:worksheet>
</file>